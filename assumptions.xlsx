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d.moshiurrahmantushar/Dropbox/Tushar-Rowles_Shared/DOD project/My code/Short communication/github/"/>
    </mc:Choice>
  </mc:AlternateContent>
  <xr:revisionPtr revIDLastSave="0" documentId="13_ncr:1_{8CBF65EA-45C3-0146-BA1F-D9888F973247}" xr6:coauthVersionLast="47" xr6:coauthVersionMax="47" xr10:uidLastSave="{00000000-0000-0000-0000-000000000000}"/>
  <bookViews>
    <workbookView xWindow="0" yWindow="680" windowWidth="30240" windowHeight="17500" activeTab="2" xr2:uid="{21E4810E-F1D7-C648-8E47-88760B50019F}"/>
  </bookViews>
  <sheets>
    <sheet name="General" sheetId="2" r:id="rId1"/>
    <sheet name="design" sheetId="6" r:id="rId2"/>
    <sheet name="LCA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6" l="1"/>
  <c r="E42" i="6"/>
  <c r="D42" i="6"/>
  <c r="E41" i="6"/>
  <c r="D41" i="6"/>
  <c r="C41" i="6"/>
  <c r="C44" i="6"/>
  <c r="E44" i="6" s="1"/>
  <c r="D43" i="6"/>
  <c r="E43" i="6"/>
  <c r="D40" i="6"/>
  <c r="E40" i="6"/>
  <c r="E38" i="6"/>
  <c r="D38" i="6"/>
  <c r="E39" i="6"/>
  <c r="D39" i="6"/>
  <c r="E24" i="6"/>
  <c r="D24" i="6"/>
  <c r="C21" i="6"/>
  <c r="D21" i="6" s="1"/>
  <c r="E31" i="6"/>
  <c r="D31" i="6"/>
  <c r="D44" i="6" l="1"/>
  <c r="E34" i="6"/>
  <c r="D34" i="6"/>
  <c r="E33" i="6"/>
  <c r="D33" i="6"/>
  <c r="E30" i="6" l="1"/>
  <c r="D30" i="6"/>
  <c r="E36" i="6"/>
  <c r="E37" i="6"/>
  <c r="D36" i="6"/>
  <c r="D37" i="6"/>
  <c r="E35" i="6"/>
  <c r="D35" i="6"/>
  <c r="E32" i="6"/>
  <c r="D32" i="6"/>
</calcChain>
</file>

<file path=xl/sharedStrings.xml><?xml version="1.0" encoding="utf-8"?>
<sst xmlns="http://schemas.openxmlformats.org/spreadsheetml/2006/main" count="324" uniqueCount="172">
  <si>
    <t>transport</t>
  </si>
  <si>
    <t>tansport_emissions_factor_truck</t>
  </si>
  <si>
    <t>kg CO2eq/t-km</t>
  </si>
  <si>
    <t>uniform</t>
  </si>
  <si>
    <t>yes</t>
  </si>
  <si>
    <t>Trimmer et al. 2020</t>
  </si>
  <si>
    <t>SimaPro (median, min-max for different truck sizes)</t>
  </si>
  <si>
    <t>no</t>
  </si>
  <si>
    <t>diesel_transport</t>
  </si>
  <si>
    <t>L/t-km</t>
  </si>
  <si>
    <t>Li and Feng 2018, Larsen et al. 2018</t>
  </si>
  <si>
    <t>checked based on fuel usage and loads</t>
  </si>
  <si>
    <t>driver_wages_US</t>
  </si>
  <si>
    <t>usd/hr</t>
  </si>
  <si>
    <t>triangular</t>
  </si>
  <si>
    <t>Salary Expert Truck US</t>
  </si>
  <si>
    <t>average_speed</t>
  </si>
  <si>
    <t>km/hr</t>
  </si>
  <si>
    <t>estimated</t>
  </si>
  <si>
    <t>diesel_cost_US</t>
  </si>
  <si>
    <t>usd/L</t>
  </si>
  <si>
    <t>Global Diesel Price</t>
  </si>
  <si>
    <t>truck_weight</t>
  </si>
  <si>
    <t>t</t>
  </si>
  <si>
    <t>US Department of Transportation 2000</t>
  </si>
  <si>
    <t>Parameter</t>
  </si>
  <si>
    <t>Unit</t>
  </si>
  <si>
    <t>expected</t>
  </si>
  <si>
    <t>low</t>
  </si>
  <si>
    <t>high</t>
  </si>
  <si>
    <t>distribution</t>
  </si>
  <si>
    <t>correlation</t>
  </si>
  <si>
    <t>Reference</t>
  </si>
  <si>
    <t>Notes</t>
  </si>
  <si>
    <t>used in design?</t>
  </si>
  <si>
    <t>(type "yes" if want to include in Spearman calcs)</t>
  </si>
  <si>
    <t>TEA/LCA assumptions</t>
  </si>
  <si>
    <t>General</t>
  </si>
  <si>
    <t>n_samples</t>
  </si>
  <si>
    <t>discount_rate</t>
  </si>
  <si>
    <t>Garrido-Baserba et al., 2018</t>
  </si>
  <si>
    <t>tax_rate</t>
  </si>
  <si>
    <t>%</t>
  </si>
  <si>
    <t>electricity_cost</t>
  </si>
  <si>
    <t>USD/kWh</t>
  </si>
  <si>
    <t>total_mass_input_waste</t>
  </si>
  <si>
    <t>kg</t>
  </si>
  <si>
    <t>constant</t>
  </si>
  <si>
    <t>mass_fraction_PTFE</t>
  </si>
  <si>
    <t>Shoener et al., 2016</t>
  </si>
  <si>
    <t>analysis_period</t>
  </si>
  <si>
    <t>years</t>
  </si>
  <si>
    <t>fraction</t>
  </si>
  <si>
    <t>incineration_fluidized_bed</t>
  </si>
  <si>
    <t>sand_fluidized_bed_incinerator</t>
  </si>
  <si>
    <t>kg/tDM</t>
  </si>
  <si>
    <t>Lombardi et al. 2017</t>
  </si>
  <si>
    <t>lime_incin</t>
  </si>
  <si>
    <t>CO_to_air_incin</t>
  </si>
  <si>
    <t>PM_to_air_incin</t>
  </si>
  <si>
    <t>NOx_to_air_incin</t>
  </si>
  <si>
    <t>CO2_fossil_to_air_incin</t>
  </si>
  <si>
    <t>ash_incin</t>
  </si>
  <si>
    <t>Capdetworks</t>
  </si>
  <si>
    <t>solids reduction of 99% typical</t>
  </si>
  <si>
    <t>landfill</t>
  </si>
  <si>
    <t>landfill_distance_US</t>
  </si>
  <si>
    <t>km</t>
  </si>
  <si>
    <t>Waste Atlas</t>
  </si>
  <si>
    <t>disposal rates based on MLE and A2O</t>
  </si>
  <si>
    <t>from analysis</t>
  </si>
  <si>
    <t>normalize_factor</t>
  </si>
  <si>
    <t>Description</t>
  </si>
  <si>
    <t>Global warming (kg CO2 eq/m3)</t>
  </si>
  <si>
    <t>Ozone depletion (kg CFC-11 eq/m3)</t>
  </si>
  <si>
    <t>Acidification (kg SO2 eq/m3)</t>
  </si>
  <si>
    <t>Eutrophication (kg N eq/m3)</t>
  </si>
  <si>
    <t>Ecotoxicity (CTUe/m3)</t>
  </si>
  <si>
    <t>stainless_steel</t>
  </si>
  <si>
    <t>Steel, chromium steel 18/8, hot rolled {RER}| production | Alloc Def, U</t>
  </si>
  <si>
    <t>concrete</t>
  </si>
  <si>
    <t>Concrete, normal {CH}| market for | Alloc Def, U</t>
  </si>
  <si>
    <t>m3</t>
  </si>
  <si>
    <t>electricity</t>
  </si>
  <si>
    <t>Electricity, medium voltage {RER}| market group for | Alloc Def, U</t>
  </si>
  <si>
    <t>kWh</t>
  </si>
  <si>
    <t>Transport, freight, lorry 16-32 metric ton, EURO5 {RER}| transport, freight, lorry 16-32 metric ton, EURO5 | Alloc Def, U</t>
  </si>
  <si>
    <t>t-km</t>
  </si>
  <si>
    <t>Diesel {Europe without Switzerland}| market for | Alloc Def, U</t>
  </si>
  <si>
    <t>sand</t>
  </si>
  <si>
    <t>Sand {GLO}| market for | Alloc Def, U</t>
  </si>
  <si>
    <t>lime</t>
  </si>
  <si>
    <t>Lime, hydrated, packed {GLO}| market for | Alloc Def, U</t>
  </si>
  <si>
    <t>incineration</t>
  </si>
  <si>
    <t>Average incineration residue {GLO}| market for | Alloc Def, U</t>
  </si>
  <si>
    <t>PM_to_air</t>
  </si>
  <si>
    <t>NOx_to_air</t>
  </si>
  <si>
    <t>HF_to_air</t>
  </si>
  <si>
    <t>mercury_to_air</t>
  </si>
  <si>
    <t>CO2_fossil_to_air</t>
  </si>
  <si>
    <t>electricity_use_incin</t>
  </si>
  <si>
    <t>kwh/tDM</t>
  </si>
  <si>
    <t>human toxicity: carcinogenics (CTUh/m3)</t>
  </si>
  <si>
    <t>human toxicity:Non carcinogenics (CTUh/m3)</t>
  </si>
  <si>
    <t>particulate matter formation potential (PMFP)  (kg PM2.5 eq/m3)</t>
  </si>
  <si>
    <t>maximum incremental reactivity (MIR)  (kg O3 eq/m3)</t>
  </si>
  <si>
    <t>kg/m3</t>
  </si>
  <si>
    <t>rho_metal</t>
  </si>
  <si>
    <t>rho_ptfe</t>
  </si>
  <si>
    <t>moisture_frac</t>
  </si>
  <si>
    <t>tonnes/d</t>
  </si>
  <si>
    <t>C2F6_to_air_incin</t>
  </si>
  <si>
    <t>CF4_to_air_incin</t>
  </si>
  <si>
    <t>Functional Unit</t>
  </si>
  <si>
    <t>tonnes of e-waste</t>
  </si>
  <si>
    <t>https://www.sciencedirect.com/science/article/pii/S0956053X15000033?casa_token=Kcv6MsZQTL0AAAAA:A3smdcoERS_cSoPjXpVPmHc0OVhxkAH-KfjPT4Vr_CG-SZrUgUBIoixxxe3QRX7Fqy78E8STgD8</t>
  </si>
  <si>
    <t>https://www.sciencedirect.com/science/article/abs/pii/S0165237007000083</t>
  </si>
  <si>
    <t>https://www.sciencedirect.com/science/article/pii/S0956053X15000033?casa_token=Kcv6MsZQTL0AAAAA:A3smdcoERS_cSoPjXpVPmHc0OVhxkAH-KfjPT4Vr_CG-SZrUgUBIoixxxe3QRX7Fqy78E8STgD8#b0085</t>
  </si>
  <si>
    <t>C2F6_to_air</t>
  </si>
  <si>
    <t>CF4_to_air</t>
  </si>
  <si>
    <t>https://www.sciencedirect.com/science/article/pii/S0956053X15000033</t>
  </si>
  <si>
    <t>concrete_old</t>
  </si>
  <si>
    <t>https://ecoquery.ecoinvent.org/3.9/cutoff/dataset/26391/documentation</t>
  </si>
  <si>
    <t>kg/tPTFE</t>
  </si>
  <si>
    <t>https://www.sciencedirect.com/science/article/pii/S0956053X15000033?casa_token=Kcv6MsZQTL0AAAAA:A3smdcoERS_cSoPjXpVPmHc0OVhxkAH-KfjPT4Vr_CG-SZrUgUBIoixxxe3QRX7Fqy78E8STgD8#b0086</t>
  </si>
  <si>
    <t>burn_rate</t>
  </si>
  <si>
    <t>kg/h</t>
  </si>
  <si>
    <t>https://www.inciner8.com/wp-content/uploads/2023/08/I8-200G.pdf</t>
  </si>
  <si>
    <t>operation_time</t>
  </si>
  <si>
    <t>h/d</t>
  </si>
  <si>
    <t>fuel_consumption</t>
  </si>
  <si>
    <t>L/h</t>
  </si>
  <si>
    <t>USD/gallon</t>
  </si>
  <si>
    <t>https://www.eia.gov/dnav/pet/hist/LeafHandler.ashx?n=PET&amp;s=W_EPLLPA_PWR_NUS_DPG&amp;f=W</t>
  </si>
  <si>
    <t>fuel_price</t>
  </si>
  <si>
    <t>pollution_control_factor</t>
  </si>
  <si>
    <t>https://agupubs.onlinelibrary.wiley.com/doi/10.1029/2021JD034888</t>
  </si>
  <si>
    <t>propane_to_air</t>
  </si>
  <si>
    <t>incinerator_weight</t>
  </si>
  <si>
    <t>steel_fraction</t>
  </si>
  <si>
    <t>concrete_fraction</t>
  </si>
  <si>
    <t>mass_fraction_PVDF</t>
  </si>
  <si>
    <t>mass_fraction_PCTFE</t>
  </si>
  <si>
    <t>rho_pvdf</t>
  </si>
  <si>
    <t>rho_pctfe</t>
  </si>
  <si>
    <t>https://kg-m3.com/material/pvdf-polyvinylidene-fluoride</t>
  </si>
  <si>
    <t>https://kg-m3.com/material/pctfe-polymonochlorotrifluoroethylene</t>
  </si>
  <si>
    <t>https://www.standard-ptfe.com/pdf/data-sheet-of-ptfe.pdf</t>
  </si>
  <si>
    <t>HF_to_air_incin</t>
  </si>
  <si>
    <t>kg/tPCTFE</t>
  </si>
  <si>
    <t>C3ClF5_to_air_incin</t>
  </si>
  <si>
    <t>https://www.researchgate.net/publication/267737177_Emissions_from_incineration_of_fluoropolymer_materials_-_A_literature_survey?enrichId=rgreq-41e8e25016fa42cbecf707eea8d97768-XXX&amp;enrichSource=Y292ZXJQYWdlOzI2NzczNzE3NztBUzoxNTk3NjkwMTI3NDQxOTJAMTQxNTEwMzMwOTI4NQ%3D%3D&amp;el=1_x_3&amp;_esc=publicationCoverPdf</t>
  </si>
  <si>
    <t>calculated</t>
  </si>
  <si>
    <t>Cl_to_air_incin</t>
  </si>
  <si>
    <t>Cl_to_air</t>
  </si>
  <si>
    <t>TFA_to_air_incin</t>
  </si>
  <si>
    <t>kg/tPTCFE</t>
  </si>
  <si>
    <t>TFA_to_air</t>
  </si>
  <si>
    <t>CO2_to_air_incin_PVDF</t>
  </si>
  <si>
    <t>CO2_to_air_incin_PCTFE</t>
  </si>
  <si>
    <t>kg/tPVDF</t>
  </si>
  <si>
    <t>HF_to_air_incin_PVDF</t>
  </si>
  <si>
    <t>Trifluoroacetic acid {RoW}| market for | Alloc Def, U</t>
  </si>
  <si>
    <t>Chlorine {RoW}| market for | Alloc Def, U</t>
  </si>
  <si>
    <t>Propane {GLO}| market for | Alloc Def, U</t>
  </si>
  <si>
    <t>Carbon tetrafluoride {GLO}| market for | Alloc Def, U</t>
  </si>
  <si>
    <t>hexafluoroethane {GLO}| market for | Alloc Def, U</t>
  </si>
  <si>
    <t>carbon dioxide {GLO}| market for | Alloc Def, U</t>
  </si>
  <si>
    <t>mercury {GLO}| market for | Alloc Def, U</t>
  </si>
  <si>
    <t>hydrogen fluoride {GLO}| market for | Alloc Def, U</t>
  </si>
  <si>
    <t>NOx {GLO}| market for | Alloc Def, U</t>
  </si>
  <si>
    <t>particulate matter {GLO}| market for | Alloc Def,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</si>
</sst>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Arial"/>
      <family val="2"/>
    </font>
    <font>
      <sz val="8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color rgb="FF231F1F"/>
      <name val="Arial"/>
      <family val="2"/>
    </font>
    <font>
      <b/>
      <i/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4"/>
      <color rgb="FF23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8" fillId="0" borderId="0" xfId="1" applyFont="1"/>
    <xf numFmtId="0" fontId="0" fillId="2" borderId="0" xfId="0" applyFill="1"/>
    <xf numFmtId="0" fontId="9" fillId="0" borderId="0" xfId="0" applyFont="1"/>
    <xf numFmtId="11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1" fontId="5" fillId="0" borderId="0" xfId="0" applyNumberFormat="1" applyFont="1"/>
    <xf numFmtId="0" fontId="13" fillId="0" borderId="0" xfId="0" applyFont="1"/>
    <xf numFmtId="11" fontId="13" fillId="0" borderId="0" xfId="0" applyNumberFormat="1" applyFont="1"/>
    <xf numFmtId="10" fontId="5" fillId="0" borderId="0" xfId="0" applyNumberFormat="1" applyFont="1"/>
    <xf numFmtId="9" fontId="5" fillId="0" borderId="0" xfId="0" applyNumberFormat="1" applyFont="1"/>
  </cellXfs>
  <cellStyles count="2">
    <cellStyle name="Normal" xfId="0" builtinId="0"/>
    <cellStyle name="Normal 67" xfId="1" xr:uid="{87B52CB6-4A84-7C4E-B12F-8051111C77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B4780-4106-7747-B039-DDCA355DC935}">
  <sheetPr codeName="Sheet1"/>
  <dimension ref="A1:H16"/>
  <sheetViews>
    <sheetView workbookViewId="0">
      <selection activeCell="A9" sqref="A1:XFD1048576"/>
    </sheetView>
  </sheetViews>
  <sheetFormatPr baseColWidth="10" defaultRowHeight="16" x14ac:dyDescent="0.2"/>
  <cols>
    <col min="1" max="1" width="23.5" style="5" bestFit="1" customWidth="1"/>
    <col min="2" max="2" width="10.83203125" style="5"/>
    <col min="3" max="3" width="14.33203125" style="5" customWidth="1"/>
    <col min="4" max="4" width="10.1640625" style="5" customWidth="1"/>
    <col min="5" max="5" width="11.1640625" style="5" customWidth="1"/>
    <col min="6" max="7" width="20.83203125" style="5" customWidth="1"/>
    <col min="8" max="8" width="35.5" style="5" customWidth="1"/>
    <col min="9" max="16384" width="10.83203125" style="5"/>
  </cols>
  <sheetData>
    <row r="1" spans="1:8" s="11" customFormat="1" x14ac:dyDescent="0.2">
      <c r="A1" s="11" t="s">
        <v>25</v>
      </c>
      <c r="B1" s="11" t="s">
        <v>26</v>
      </c>
      <c r="C1" s="11" t="s">
        <v>27</v>
      </c>
      <c r="D1" s="11" t="s">
        <v>28</v>
      </c>
      <c r="E1" s="11" t="s">
        <v>29</v>
      </c>
      <c r="F1" s="11" t="s">
        <v>30</v>
      </c>
      <c r="G1" s="11" t="s">
        <v>31</v>
      </c>
      <c r="H1" s="11" t="s">
        <v>32</v>
      </c>
    </row>
    <row r="2" spans="1:8" s="11" customFormat="1" x14ac:dyDescent="0.2">
      <c r="G2" s="5" t="s">
        <v>35</v>
      </c>
    </row>
    <row r="3" spans="1:8" x14ac:dyDescent="0.2">
      <c r="A3" s="11" t="s">
        <v>36</v>
      </c>
    </row>
    <row r="4" spans="1:8" x14ac:dyDescent="0.2">
      <c r="A4" s="10" t="s">
        <v>37</v>
      </c>
    </row>
    <row r="6" spans="1:8" x14ac:dyDescent="0.2">
      <c r="A6" s="5" t="s">
        <v>38</v>
      </c>
      <c r="C6" s="5">
        <v>10000</v>
      </c>
    </row>
    <row r="8" spans="1:8" x14ac:dyDescent="0.2">
      <c r="A8" s="5" t="s">
        <v>39</v>
      </c>
      <c r="B8" s="5" t="s">
        <v>42</v>
      </c>
      <c r="C8" s="16">
        <v>0.05</v>
      </c>
      <c r="D8" s="16">
        <v>0.02</v>
      </c>
      <c r="E8" s="16">
        <v>0.08</v>
      </c>
      <c r="F8" s="5" t="s">
        <v>14</v>
      </c>
      <c r="G8" s="5" t="s">
        <v>4</v>
      </c>
      <c r="H8" s="5" t="s">
        <v>40</v>
      </c>
    </row>
    <row r="9" spans="1:8" x14ac:dyDescent="0.2">
      <c r="A9" s="5" t="s">
        <v>41</v>
      </c>
      <c r="B9" s="5" t="s">
        <v>42</v>
      </c>
      <c r="C9" s="17">
        <v>0.28000000000000003</v>
      </c>
      <c r="D9" s="17">
        <v>0.2</v>
      </c>
      <c r="E9" s="17">
        <v>0.35</v>
      </c>
      <c r="F9" s="5" t="s">
        <v>14</v>
      </c>
      <c r="G9" s="5" t="s">
        <v>4</v>
      </c>
      <c r="H9" s="5" t="s">
        <v>40</v>
      </c>
    </row>
    <row r="10" spans="1:8" x14ac:dyDescent="0.2">
      <c r="A10" s="5" t="s">
        <v>50</v>
      </c>
      <c r="B10" s="5" t="s">
        <v>51</v>
      </c>
      <c r="C10" s="5">
        <v>50</v>
      </c>
      <c r="F10" s="5" t="s">
        <v>47</v>
      </c>
      <c r="G10" s="5" t="s">
        <v>4</v>
      </c>
    </row>
    <row r="16" spans="1:8" x14ac:dyDescent="0.2">
      <c r="A16" s="5" t="s">
        <v>113</v>
      </c>
      <c r="B16" s="5" t="s">
        <v>114</v>
      </c>
      <c r="C16" s="5">
        <v>1</v>
      </c>
      <c r="H16" s="5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7746-2291-CF49-8F47-80804D910C3E}">
  <sheetPr codeName="Sheet4"/>
  <dimension ref="A1:J83"/>
  <sheetViews>
    <sheetView topLeftCell="A21" zoomScale="140" zoomScaleNormal="221" workbookViewId="0">
      <selection activeCell="H30" sqref="H30"/>
    </sheetView>
  </sheetViews>
  <sheetFormatPr baseColWidth="10" defaultRowHeight="16" x14ac:dyDescent="0.2"/>
  <cols>
    <col min="1" max="1" width="34.1640625" bestFit="1" customWidth="1"/>
    <col min="2" max="2" width="16.6640625" bestFit="1" customWidth="1"/>
    <col min="3" max="3" width="14.33203125" customWidth="1"/>
    <col min="4" max="4" width="10.1640625" customWidth="1"/>
    <col min="5" max="5" width="11.1640625" customWidth="1"/>
    <col min="6" max="7" width="20.83203125" customWidth="1"/>
    <col min="8" max="8" width="35.5" customWidth="1"/>
    <col min="9" max="9" width="34.33203125" bestFit="1" customWidth="1"/>
  </cols>
  <sheetData>
    <row r="1" spans="1:10" s="2" customFormat="1" x14ac:dyDescent="0.2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</row>
    <row r="2" spans="1:10" x14ac:dyDescent="0.2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">
      <c r="A3" t="s">
        <v>1</v>
      </c>
      <c r="B3" t="s">
        <v>2</v>
      </c>
      <c r="C3">
        <v>0.19400000000000001</v>
      </c>
      <c r="D3">
        <v>5.7599999999999998E-2</v>
      </c>
      <c r="E3">
        <v>0.52600000000000002</v>
      </c>
      <c r="F3" t="s">
        <v>3</v>
      </c>
      <c r="G3" t="s">
        <v>4</v>
      </c>
      <c r="H3" t="s">
        <v>5</v>
      </c>
      <c r="I3" t="s">
        <v>6</v>
      </c>
      <c r="J3" t="s">
        <v>7</v>
      </c>
    </row>
    <row r="4" spans="1:10" x14ac:dyDescent="0.2">
      <c r="A4" t="s">
        <v>8</v>
      </c>
      <c r="B4" t="s">
        <v>9</v>
      </c>
      <c r="D4">
        <v>2.1000000000000001E-2</v>
      </c>
      <c r="E4">
        <v>0.03</v>
      </c>
      <c r="F4" t="s">
        <v>3</v>
      </c>
      <c r="G4" t="s">
        <v>4</v>
      </c>
      <c r="H4" t="s">
        <v>10</v>
      </c>
      <c r="I4" t="s">
        <v>11</v>
      </c>
      <c r="J4" t="s">
        <v>4</v>
      </c>
    </row>
    <row r="5" spans="1:10" x14ac:dyDescent="0.2">
      <c r="A5" t="s">
        <v>12</v>
      </c>
      <c r="B5" t="s">
        <v>13</v>
      </c>
      <c r="C5">
        <v>24</v>
      </c>
      <c r="D5">
        <v>17.5</v>
      </c>
      <c r="E5">
        <v>29.24</v>
      </c>
      <c r="F5" t="s">
        <v>14</v>
      </c>
      <c r="G5" t="s">
        <v>4</v>
      </c>
      <c r="H5" s="3" t="s">
        <v>15</v>
      </c>
    </row>
    <row r="6" spans="1:10" x14ac:dyDescent="0.2">
      <c r="A6" t="s">
        <v>16</v>
      </c>
      <c r="B6" t="s">
        <v>17</v>
      </c>
      <c r="C6">
        <v>48</v>
      </c>
      <c r="D6">
        <v>32</v>
      </c>
      <c r="E6">
        <v>95</v>
      </c>
      <c r="F6" t="s">
        <v>14</v>
      </c>
      <c r="G6" t="s">
        <v>4</v>
      </c>
      <c r="H6" t="s">
        <v>18</v>
      </c>
    </row>
    <row r="7" spans="1:10" x14ac:dyDescent="0.2">
      <c r="A7" t="s">
        <v>19</v>
      </c>
      <c r="B7" t="s">
        <v>20</v>
      </c>
      <c r="D7">
        <v>0.99</v>
      </c>
      <c r="E7">
        <v>1.01</v>
      </c>
      <c r="F7" t="s">
        <v>3</v>
      </c>
      <c r="G7" t="s">
        <v>4</v>
      </c>
      <c r="H7" s="3" t="s">
        <v>21</v>
      </c>
    </row>
    <row r="8" spans="1:10" x14ac:dyDescent="0.2">
      <c r="A8" t="s">
        <v>22</v>
      </c>
      <c r="B8" t="s">
        <v>23</v>
      </c>
      <c r="D8">
        <v>10</v>
      </c>
      <c r="E8">
        <v>20</v>
      </c>
      <c r="F8" t="s">
        <v>3</v>
      </c>
      <c r="G8" t="s">
        <v>4</v>
      </c>
      <c r="H8" s="3" t="s">
        <v>24</v>
      </c>
    </row>
    <row r="11" spans="1:10" x14ac:dyDescent="0.2">
      <c r="A11" s="10" t="s">
        <v>53</v>
      </c>
      <c r="B11" s="5"/>
      <c r="C11" s="5"/>
      <c r="D11" s="5"/>
      <c r="E11" s="5"/>
      <c r="F11" s="5"/>
      <c r="G11" s="5"/>
      <c r="H11" s="5"/>
      <c r="I11" s="5"/>
    </row>
    <row r="12" spans="1:10" x14ac:dyDescent="0.2">
      <c r="A12" s="5" t="s">
        <v>45</v>
      </c>
      <c r="B12" s="5" t="s">
        <v>110</v>
      </c>
      <c r="C12" s="5">
        <v>1000</v>
      </c>
      <c r="D12" s="5"/>
      <c r="E12" s="5"/>
      <c r="F12" s="5" t="s">
        <v>47</v>
      </c>
      <c r="G12" s="5" t="s">
        <v>4</v>
      </c>
      <c r="H12" s="5"/>
      <c r="I12" s="5"/>
    </row>
    <row r="13" spans="1:10" x14ac:dyDescent="0.2">
      <c r="A13" s="5" t="s">
        <v>48</v>
      </c>
      <c r="B13" s="5" t="s">
        <v>52</v>
      </c>
      <c r="C13" s="5">
        <v>1</v>
      </c>
      <c r="D13" s="5"/>
      <c r="E13" s="5"/>
      <c r="F13" s="5" t="s">
        <v>47</v>
      </c>
      <c r="G13" s="5" t="s">
        <v>4</v>
      </c>
      <c r="H13" s="5"/>
      <c r="I13" s="5"/>
    </row>
    <row r="14" spans="1:10" x14ac:dyDescent="0.2">
      <c r="A14" s="5" t="s">
        <v>141</v>
      </c>
      <c r="B14" s="5" t="s">
        <v>52</v>
      </c>
      <c r="C14" s="5">
        <v>1</v>
      </c>
      <c r="D14" s="5"/>
      <c r="E14" s="5"/>
      <c r="F14" s="5" t="s">
        <v>47</v>
      </c>
      <c r="G14" s="5" t="s">
        <v>4</v>
      </c>
      <c r="H14" s="5"/>
      <c r="I14" s="5"/>
    </row>
    <row r="15" spans="1:10" x14ac:dyDescent="0.2">
      <c r="A15" s="5" t="s">
        <v>142</v>
      </c>
      <c r="B15" s="5" t="s">
        <v>52</v>
      </c>
      <c r="C15" s="5">
        <v>1</v>
      </c>
      <c r="D15" s="5"/>
      <c r="E15" s="5"/>
      <c r="F15" s="5" t="s">
        <v>47</v>
      </c>
      <c r="G15" s="5" t="s">
        <v>4</v>
      </c>
      <c r="H15" s="5"/>
      <c r="I15" s="5"/>
    </row>
    <row r="16" spans="1:10" x14ac:dyDescent="0.2">
      <c r="A16" s="5" t="s">
        <v>108</v>
      </c>
      <c r="B16" s="5" t="s">
        <v>106</v>
      </c>
      <c r="C16" s="5">
        <v>2150</v>
      </c>
      <c r="D16" s="5">
        <v>2100</v>
      </c>
      <c r="E16" s="5">
        <v>2200</v>
      </c>
      <c r="F16" s="5" t="s">
        <v>47</v>
      </c>
      <c r="G16" s="5" t="s">
        <v>4</v>
      </c>
      <c r="H16" s="5" t="s">
        <v>147</v>
      </c>
      <c r="I16" s="5"/>
    </row>
    <row r="17" spans="1:9" x14ac:dyDescent="0.2">
      <c r="A17" s="5" t="s">
        <v>143</v>
      </c>
      <c r="B17" s="5" t="s">
        <v>106</v>
      </c>
      <c r="C17" s="5">
        <v>1750</v>
      </c>
      <c r="D17" s="5">
        <v>1700</v>
      </c>
      <c r="E17" s="5">
        <v>1800</v>
      </c>
      <c r="F17" s="5" t="s">
        <v>47</v>
      </c>
      <c r="G17" s="5" t="s">
        <v>4</v>
      </c>
      <c r="H17" s="5" t="s">
        <v>145</v>
      </c>
      <c r="I17" s="5"/>
    </row>
    <row r="18" spans="1:9" x14ac:dyDescent="0.2">
      <c r="A18" s="5" t="s">
        <v>144</v>
      </c>
      <c r="B18" s="5" t="s">
        <v>106</v>
      </c>
      <c r="C18" s="5">
        <v>2150</v>
      </c>
      <c r="D18" s="5">
        <v>2100</v>
      </c>
      <c r="E18" s="5">
        <v>2200</v>
      </c>
      <c r="F18" s="5" t="s">
        <v>47</v>
      </c>
      <c r="G18" s="5" t="s">
        <v>4</v>
      </c>
      <c r="H18" s="5" t="s">
        <v>146</v>
      </c>
      <c r="I18" s="5"/>
    </row>
    <row r="19" spans="1:9" x14ac:dyDescent="0.2">
      <c r="A19" s="5" t="s">
        <v>107</v>
      </c>
      <c r="B19" s="5" t="s">
        <v>106</v>
      </c>
      <c r="C19" s="5">
        <v>7870</v>
      </c>
      <c r="D19" s="5"/>
      <c r="E19" s="5"/>
      <c r="F19" s="5" t="s">
        <v>47</v>
      </c>
      <c r="G19" s="5" t="s">
        <v>4</v>
      </c>
      <c r="H19" s="5"/>
      <c r="I19" s="5"/>
    </row>
    <row r="20" spans="1:9" x14ac:dyDescent="0.2">
      <c r="A20" s="5" t="s">
        <v>109</v>
      </c>
      <c r="B20" s="5" t="s">
        <v>52</v>
      </c>
      <c r="C20" s="5">
        <v>0</v>
      </c>
      <c r="D20" s="5"/>
      <c r="E20" s="5"/>
      <c r="F20" s="5" t="s">
        <v>47</v>
      </c>
      <c r="G20" s="5" t="s">
        <v>4</v>
      </c>
      <c r="H20" s="5"/>
      <c r="I20" s="5"/>
    </row>
    <row r="21" spans="1:9" x14ac:dyDescent="0.2">
      <c r="A21" s="5" t="s">
        <v>125</v>
      </c>
      <c r="B21" s="5" t="s">
        <v>126</v>
      </c>
      <c r="C21" s="5">
        <f>E21/1.25</f>
        <v>144</v>
      </c>
      <c r="D21" s="5">
        <f>C21*0.75</f>
        <v>108</v>
      </c>
      <c r="E21" s="5">
        <v>180</v>
      </c>
      <c r="F21" s="5" t="s">
        <v>3</v>
      </c>
      <c r="G21" s="5" t="s">
        <v>4</v>
      </c>
      <c r="H21" s="5" t="s">
        <v>127</v>
      </c>
      <c r="I21" s="5"/>
    </row>
    <row r="22" spans="1:9" x14ac:dyDescent="0.2">
      <c r="A22" s="5" t="s">
        <v>128</v>
      </c>
      <c r="B22" s="5" t="s">
        <v>129</v>
      </c>
      <c r="C22" s="5">
        <v>8</v>
      </c>
      <c r="D22" s="5">
        <v>6</v>
      </c>
      <c r="E22" s="5">
        <v>10</v>
      </c>
      <c r="F22" s="5" t="s">
        <v>3</v>
      </c>
      <c r="G22" s="5" t="s">
        <v>4</v>
      </c>
      <c r="H22" s="5" t="s">
        <v>18</v>
      </c>
      <c r="I22" s="5"/>
    </row>
    <row r="23" spans="1:9" x14ac:dyDescent="0.2">
      <c r="A23" s="5" t="s">
        <v>130</v>
      </c>
      <c r="B23" s="5" t="s">
        <v>131</v>
      </c>
      <c r="C23" s="5">
        <v>22</v>
      </c>
      <c r="D23" s="5">
        <v>20</v>
      </c>
      <c r="E23" s="5">
        <v>25</v>
      </c>
      <c r="F23" s="5" t="s">
        <v>14</v>
      </c>
      <c r="G23" s="5" t="s">
        <v>4</v>
      </c>
      <c r="H23" s="5" t="s">
        <v>127</v>
      </c>
      <c r="I23" s="5"/>
    </row>
    <row r="24" spans="1:9" x14ac:dyDescent="0.2">
      <c r="A24" s="5" t="s">
        <v>134</v>
      </c>
      <c r="B24" s="5" t="s">
        <v>132</v>
      </c>
      <c r="C24" s="5">
        <v>0.84099999999999997</v>
      </c>
      <c r="D24" s="5">
        <f>C24*0.9</f>
        <v>0.75690000000000002</v>
      </c>
      <c r="E24" s="5">
        <f>1.5*C24</f>
        <v>1.2614999999999998</v>
      </c>
      <c r="F24" s="5" t="s">
        <v>3</v>
      </c>
      <c r="G24" s="5" t="s">
        <v>4</v>
      </c>
      <c r="H24" s="5" t="s">
        <v>133</v>
      </c>
      <c r="I24" s="5"/>
    </row>
    <row r="25" spans="1:9" x14ac:dyDescent="0.2">
      <c r="A25" s="5" t="s">
        <v>138</v>
      </c>
      <c r="B25" s="5" t="s">
        <v>46</v>
      </c>
      <c r="C25" s="5">
        <v>6500</v>
      </c>
      <c r="D25" s="5"/>
      <c r="E25" s="5"/>
      <c r="F25" s="5" t="s">
        <v>47</v>
      </c>
      <c r="G25" s="5" t="s">
        <v>4</v>
      </c>
      <c r="H25" s="5" t="s">
        <v>127</v>
      </c>
      <c r="I25" s="5"/>
    </row>
    <row r="26" spans="1:9" x14ac:dyDescent="0.2">
      <c r="A26" s="5" t="s">
        <v>139</v>
      </c>
      <c r="B26" s="5" t="s">
        <v>52</v>
      </c>
      <c r="C26" s="5">
        <v>35</v>
      </c>
      <c r="D26" s="5">
        <v>30</v>
      </c>
      <c r="E26" s="5">
        <v>40</v>
      </c>
      <c r="F26" s="5" t="s">
        <v>3</v>
      </c>
      <c r="G26" s="5" t="s">
        <v>4</v>
      </c>
      <c r="H26" s="5" t="s">
        <v>18</v>
      </c>
      <c r="I26" s="5"/>
    </row>
    <row r="27" spans="1:9" x14ac:dyDescent="0.2">
      <c r="A27" s="5" t="s">
        <v>140</v>
      </c>
      <c r="B27" s="5" t="s">
        <v>52</v>
      </c>
      <c r="C27" s="5">
        <v>45</v>
      </c>
      <c r="D27" s="5">
        <v>40</v>
      </c>
      <c r="E27" s="5">
        <v>50</v>
      </c>
      <c r="F27" s="5" t="s">
        <v>3</v>
      </c>
      <c r="G27" s="5" t="s">
        <v>4</v>
      </c>
      <c r="H27" s="5" t="s">
        <v>18</v>
      </c>
      <c r="I27" s="5"/>
    </row>
    <row r="28" spans="1:9" x14ac:dyDescent="0.2">
      <c r="A28" s="5" t="s">
        <v>54</v>
      </c>
      <c r="B28" s="5" t="s">
        <v>55</v>
      </c>
      <c r="C28" s="5">
        <v>7</v>
      </c>
      <c r="D28" s="5">
        <v>6.3</v>
      </c>
      <c r="E28" s="5">
        <v>7.7</v>
      </c>
      <c r="F28" s="5" t="s">
        <v>3</v>
      </c>
      <c r="G28" s="5" t="s">
        <v>4</v>
      </c>
      <c r="H28" s="5" t="s">
        <v>56</v>
      </c>
      <c r="I28" s="5"/>
    </row>
    <row r="29" spans="1:9" x14ac:dyDescent="0.2">
      <c r="A29" s="5" t="s">
        <v>43</v>
      </c>
      <c r="B29" s="5" t="s">
        <v>44</v>
      </c>
      <c r="C29" s="5">
        <v>0.1</v>
      </c>
      <c r="D29" s="5">
        <v>9.0000000000000011E-2</v>
      </c>
      <c r="E29" s="5">
        <v>0.11000000000000001</v>
      </c>
      <c r="F29" s="5" t="s">
        <v>3</v>
      </c>
      <c r="G29" s="5" t="s">
        <v>4</v>
      </c>
      <c r="H29" s="5" t="s">
        <v>49</v>
      </c>
      <c r="I29" s="5"/>
    </row>
    <row r="30" spans="1:9" s="4" customFormat="1" x14ac:dyDescent="0.2">
      <c r="A30" s="5" t="s">
        <v>100</v>
      </c>
      <c r="B30" s="5" t="s">
        <v>101</v>
      </c>
      <c r="C30" s="5">
        <v>0.44</v>
      </c>
      <c r="D30" s="5">
        <f>C30*0.75</f>
        <v>0.33</v>
      </c>
      <c r="E30" s="5">
        <f>1.25*C30</f>
        <v>0.55000000000000004</v>
      </c>
      <c r="F30" s="5" t="s">
        <v>3</v>
      </c>
      <c r="G30" s="11" t="s">
        <v>4</v>
      </c>
      <c r="H30" s="5" t="s">
        <v>117</v>
      </c>
      <c r="I30" s="11"/>
    </row>
    <row r="31" spans="1:9" x14ac:dyDescent="0.2">
      <c r="A31" s="5" t="s">
        <v>57</v>
      </c>
      <c r="B31" s="5" t="s">
        <v>55</v>
      </c>
      <c r="C31" s="5">
        <v>7.0000000000000007E-2</v>
      </c>
      <c r="D31" s="5">
        <f>C31*0.75</f>
        <v>5.2500000000000005E-2</v>
      </c>
      <c r="E31" s="5">
        <f>1.25*C31</f>
        <v>8.7500000000000008E-2</v>
      </c>
      <c r="F31" s="5" t="s">
        <v>3</v>
      </c>
      <c r="G31" s="5" t="s">
        <v>4</v>
      </c>
      <c r="H31" s="5" t="s">
        <v>124</v>
      </c>
      <c r="I31" s="5"/>
    </row>
    <row r="32" spans="1:9" s="4" customFormat="1" x14ac:dyDescent="0.2">
      <c r="A32" s="5" t="s">
        <v>58</v>
      </c>
      <c r="B32" s="5" t="s">
        <v>123</v>
      </c>
      <c r="C32" s="5">
        <v>74</v>
      </c>
      <c r="D32" s="5">
        <f>0.75*C32</f>
        <v>55.5</v>
      </c>
      <c r="E32" s="5">
        <f>C32*1.25</f>
        <v>92.5</v>
      </c>
      <c r="F32" s="5" t="s">
        <v>3</v>
      </c>
      <c r="G32" s="11" t="s">
        <v>4</v>
      </c>
      <c r="H32" s="5" t="s">
        <v>116</v>
      </c>
      <c r="I32" s="11"/>
    </row>
    <row r="33" spans="1:9" x14ac:dyDescent="0.2">
      <c r="A33" s="5" t="s">
        <v>59</v>
      </c>
      <c r="B33" s="5" t="s">
        <v>55</v>
      </c>
      <c r="C33" s="5">
        <v>2.3800000000000002E-3</v>
      </c>
      <c r="D33" s="5">
        <f>0.75*C33</f>
        <v>1.7850000000000001E-3</v>
      </c>
      <c r="E33" s="5">
        <f>1.25*C33</f>
        <v>2.9750000000000002E-3</v>
      </c>
      <c r="F33" s="5" t="s">
        <v>3</v>
      </c>
      <c r="G33" s="5" t="s">
        <v>4</v>
      </c>
      <c r="H33" s="5" t="s">
        <v>120</v>
      </c>
      <c r="I33" s="5"/>
    </row>
    <row r="34" spans="1:9" x14ac:dyDescent="0.2">
      <c r="A34" s="5" t="s">
        <v>60</v>
      </c>
      <c r="B34" s="5" t="s">
        <v>55</v>
      </c>
      <c r="C34" s="5">
        <v>3.48E-3</v>
      </c>
      <c r="D34" s="5">
        <f>0.75*C34</f>
        <v>2.6099999999999999E-3</v>
      </c>
      <c r="E34" s="5">
        <f>1.25*C34</f>
        <v>4.3499999999999997E-3</v>
      </c>
      <c r="F34" s="5" t="s">
        <v>3</v>
      </c>
      <c r="G34" s="5" t="s">
        <v>4</v>
      </c>
      <c r="H34" s="5" t="s">
        <v>120</v>
      </c>
      <c r="I34" s="5"/>
    </row>
    <row r="35" spans="1:9" s="4" customFormat="1" x14ac:dyDescent="0.2">
      <c r="A35" s="5" t="s">
        <v>61</v>
      </c>
      <c r="B35" s="5" t="s">
        <v>123</v>
      </c>
      <c r="C35" s="5">
        <v>132</v>
      </c>
      <c r="D35" s="5">
        <f>0.75*C35</f>
        <v>99</v>
      </c>
      <c r="E35" s="5">
        <f>1.25*C35</f>
        <v>165</v>
      </c>
      <c r="F35" s="5" t="s">
        <v>3</v>
      </c>
      <c r="G35" s="11" t="s">
        <v>4</v>
      </c>
      <c r="H35" s="5" t="s">
        <v>116</v>
      </c>
      <c r="I35" s="11"/>
    </row>
    <row r="36" spans="1:9" s="4" customFormat="1" x14ac:dyDescent="0.2">
      <c r="A36" s="5" t="s">
        <v>111</v>
      </c>
      <c r="B36" s="5" t="s">
        <v>123</v>
      </c>
      <c r="C36" s="5">
        <v>548</v>
      </c>
      <c r="D36" s="5">
        <f t="shared" ref="D36:D37" si="0">0.75*C36</f>
        <v>411</v>
      </c>
      <c r="E36" s="5">
        <f t="shared" ref="E36:E37" si="1">1.25*C36</f>
        <v>685</v>
      </c>
      <c r="F36" s="5" t="s">
        <v>3</v>
      </c>
      <c r="G36" s="11" t="s">
        <v>4</v>
      </c>
      <c r="H36" s="5" t="s">
        <v>116</v>
      </c>
      <c r="I36" s="11"/>
    </row>
    <row r="37" spans="1:9" s="4" customFormat="1" x14ac:dyDescent="0.2">
      <c r="A37" s="5" t="s">
        <v>112</v>
      </c>
      <c r="B37" s="5" t="s">
        <v>123</v>
      </c>
      <c r="C37" s="5">
        <v>24</v>
      </c>
      <c r="D37" s="5">
        <f t="shared" si="0"/>
        <v>18</v>
      </c>
      <c r="E37" s="5">
        <f t="shared" si="1"/>
        <v>30</v>
      </c>
      <c r="F37" s="5" t="s">
        <v>3</v>
      </c>
      <c r="G37" s="11" t="s">
        <v>4</v>
      </c>
      <c r="H37" s="5" t="s">
        <v>116</v>
      </c>
      <c r="I37" s="11"/>
    </row>
    <row r="38" spans="1:9" s="4" customFormat="1" x14ac:dyDescent="0.2">
      <c r="A38" s="5" t="s">
        <v>150</v>
      </c>
      <c r="B38" s="5" t="s">
        <v>52</v>
      </c>
      <c r="C38" s="5">
        <v>13.1</v>
      </c>
      <c r="D38" s="5">
        <f>0.9*C38</f>
        <v>11.79</v>
      </c>
      <c r="E38" s="5">
        <f>1.1*C38</f>
        <v>14.41</v>
      </c>
      <c r="F38" s="5" t="s">
        <v>3</v>
      </c>
      <c r="G38" s="11" t="s">
        <v>4</v>
      </c>
      <c r="H38" s="5" t="s">
        <v>151</v>
      </c>
      <c r="I38" s="11"/>
    </row>
    <row r="39" spans="1:9" s="4" customFormat="1" x14ac:dyDescent="0.2">
      <c r="A39" s="5" t="s">
        <v>148</v>
      </c>
      <c r="B39" s="5" t="s">
        <v>149</v>
      </c>
      <c r="C39" s="5">
        <v>70</v>
      </c>
      <c r="D39" s="5">
        <f>0.9*C39</f>
        <v>63</v>
      </c>
      <c r="E39" s="5">
        <f>1.1*C39</f>
        <v>77</v>
      </c>
      <c r="F39" s="5" t="s">
        <v>3</v>
      </c>
      <c r="G39" s="11" t="s">
        <v>4</v>
      </c>
      <c r="H39" s="5" t="s">
        <v>152</v>
      </c>
      <c r="I39" s="11"/>
    </row>
    <row r="40" spans="1:9" s="4" customFormat="1" x14ac:dyDescent="0.2">
      <c r="A40" s="5" t="s">
        <v>159</v>
      </c>
      <c r="B40" s="5" t="s">
        <v>149</v>
      </c>
      <c r="C40" s="5">
        <v>95</v>
      </c>
      <c r="D40" s="5">
        <f>0.9*C40</f>
        <v>85.5</v>
      </c>
      <c r="E40" s="5">
        <f>1.1*C40</f>
        <v>104.50000000000001</v>
      </c>
      <c r="F40" s="5" t="s">
        <v>3</v>
      </c>
      <c r="G40" s="11" t="s">
        <v>4</v>
      </c>
      <c r="H40" s="5" t="s">
        <v>152</v>
      </c>
      <c r="I40" s="11"/>
    </row>
    <row r="41" spans="1:9" s="4" customFormat="1" x14ac:dyDescent="0.2">
      <c r="A41" s="5" t="s">
        <v>158</v>
      </c>
      <c r="B41" s="5" t="s">
        <v>160</v>
      </c>
      <c r="C41" s="5">
        <f>1375*0.9</f>
        <v>1237.5</v>
      </c>
      <c r="D41" s="5">
        <f>0.75*C41</f>
        <v>928.125</v>
      </c>
      <c r="E41" s="5">
        <f>C41*1.1</f>
        <v>1361.25</v>
      </c>
      <c r="F41" s="5" t="s">
        <v>3</v>
      </c>
      <c r="G41" s="11" t="s">
        <v>4</v>
      </c>
      <c r="H41" s="5" t="s">
        <v>152</v>
      </c>
      <c r="I41" s="11"/>
    </row>
    <row r="42" spans="1:9" s="4" customFormat="1" x14ac:dyDescent="0.2">
      <c r="A42" s="5" t="s">
        <v>161</v>
      </c>
      <c r="B42" s="5" t="s">
        <v>160</v>
      </c>
      <c r="C42" s="5">
        <f>625*0.9</f>
        <v>562.5</v>
      </c>
      <c r="D42" s="5">
        <f>0.75*C42</f>
        <v>421.875</v>
      </c>
      <c r="E42" s="5">
        <f>C42*1.1</f>
        <v>618.75</v>
      </c>
      <c r="F42" s="5" t="s">
        <v>3</v>
      </c>
      <c r="G42" s="11" t="s">
        <v>4</v>
      </c>
      <c r="H42" s="5" t="s">
        <v>152</v>
      </c>
      <c r="I42" s="11"/>
    </row>
    <row r="43" spans="1:9" x14ac:dyDescent="0.2">
      <c r="A43" s="5" t="s">
        <v>153</v>
      </c>
      <c r="B43" s="5" t="s">
        <v>149</v>
      </c>
      <c r="C43" s="5">
        <v>25</v>
      </c>
      <c r="D43" s="5">
        <f>0.9*C43</f>
        <v>22.5</v>
      </c>
      <c r="E43" s="5">
        <f>1.1*C43</f>
        <v>27.500000000000004</v>
      </c>
      <c r="F43" s="5" t="s">
        <v>3</v>
      </c>
      <c r="G43" s="11" t="s">
        <v>4</v>
      </c>
      <c r="H43" s="5" t="s">
        <v>152</v>
      </c>
      <c r="I43" s="5"/>
    </row>
    <row r="44" spans="1:9" x14ac:dyDescent="0.2">
      <c r="A44" s="5" t="s">
        <v>155</v>
      </c>
      <c r="B44" s="5" t="s">
        <v>156</v>
      </c>
      <c r="C44" s="5">
        <f>1000*0.1/100</f>
        <v>1</v>
      </c>
      <c r="D44" s="5">
        <f>0.75*C44</f>
        <v>0.75</v>
      </c>
      <c r="E44" s="5">
        <f>1.25*C44</f>
        <v>1.25</v>
      </c>
      <c r="F44" s="5" t="s">
        <v>3</v>
      </c>
      <c r="G44" s="11" t="s">
        <v>4</v>
      </c>
      <c r="H44" s="5" t="s">
        <v>151</v>
      </c>
      <c r="I44" s="5"/>
    </row>
    <row r="45" spans="1:9" s="4" customFormat="1" x14ac:dyDescent="0.2">
      <c r="A45" s="5" t="s">
        <v>135</v>
      </c>
      <c r="B45" s="5" t="s">
        <v>52</v>
      </c>
      <c r="C45" s="5">
        <v>0.6</v>
      </c>
      <c r="D45" s="5">
        <v>0.55000000000000004</v>
      </c>
      <c r="E45" s="5">
        <v>0.86</v>
      </c>
      <c r="F45" s="5" t="s">
        <v>3</v>
      </c>
      <c r="G45" s="11" t="s">
        <v>4</v>
      </c>
      <c r="H45" s="5" t="s">
        <v>136</v>
      </c>
      <c r="I45" s="11"/>
    </row>
    <row r="46" spans="1:9" x14ac:dyDescent="0.2">
      <c r="A46" s="5" t="s">
        <v>62</v>
      </c>
      <c r="B46" s="5" t="s">
        <v>55</v>
      </c>
      <c r="C46" s="5">
        <v>1</v>
      </c>
      <c r="D46" s="5">
        <v>0.9</v>
      </c>
      <c r="E46" s="5">
        <v>1.1000000000000001</v>
      </c>
      <c r="F46" s="5" t="s">
        <v>3</v>
      </c>
      <c r="G46" s="5" t="s">
        <v>4</v>
      </c>
      <c r="H46" s="5" t="s">
        <v>63</v>
      </c>
      <c r="I46" s="5" t="s">
        <v>64</v>
      </c>
    </row>
    <row r="47" spans="1:9" x14ac:dyDescent="0.2">
      <c r="A47" s="12" t="s">
        <v>65</v>
      </c>
      <c r="B47" s="5"/>
      <c r="C47" s="5"/>
      <c r="D47" s="5"/>
      <c r="E47" s="5"/>
      <c r="F47" s="5"/>
      <c r="G47" s="5"/>
      <c r="H47" s="5"/>
      <c r="I47" s="5"/>
    </row>
    <row r="48" spans="1:9" x14ac:dyDescent="0.2">
      <c r="A48" s="5" t="s">
        <v>66</v>
      </c>
      <c r="B48" s="5" t="s">
        <v>67</v>
      </c>
      <c r="C48" s="5"/>
      <c r="D48" s="5">
        <v>19</v>
      </c>
      <c r="E48" s="5">
        <v>120</v>
      </c>
      <c r="F48" s="5" t="s">
        <v>3</v>
      </c>
      <c r="G48" s="5" t="s">
        <v>4</v>
      </c>
      <c r="H48" s="5" t="s">
        <v>68</v>
      </c>
      <c r="I48" s="5"/>
    </row>
    <row r="49" spans="1:8" x14ac:dyDescent="0.2">
      <c r="A49" s="1"/>
    </row>
    <row r="50" spans="1:8" x14ac:dyDescent="0.2">
      <c r="A50" s="1" t="s">
        <v>69</v>
      </c>
    </row>
    <row r="51" spans="1:8" x14ac:dyDescent="0.2">
      <c r="A51" t="s">
        <v>71</v>
      </c>
      <c r="C51">
        <v>1.9</v>
      </c>
      <c r="F51" t="s">
        <v>47</v>
      </c>
      <c r="H51" t="s">
        <v>70</v>
      </c>
    </row>
    <row r="53" spans="1:8" x14ac:dyDescent="0.2">
      <c r="A53" s="4"/>
    </row>
    <row r="54" spans="1:8" x14ac:dyDescent="0.2">
      <c r="A54" s="4"/>
    </row>
    <row r="73" spans="1:1" x14ac:dyDescent="0.2">
      <c r="A73" s="4"/>
    </row>
    <row r="75" spans="1:1" s="7" customFormat="1" x14ac:dyDescent="0.2"/>
    <row r="78" spans="1:1" x14ac:dyDescent="0.2">
      <c r="A78" s="6"/>
    </row>
    <row r="83" spans="1:1" x14ac:dyDescent="0.2">
      <c r="A83" s="4"/>
    </row>
  </sheetData>
  <phoneticPr fontId="6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1E73-260C-3F4C-AB80-01D7D8FF301C}">
  <sheetPr codeName="Sheet5"/>
  <dimension ref="A1:Q38"/>
  <sheetViews>
    <sheetView tabSelected="1" topLeftCell="E1" workbookViewId="0">
      <selection activeCell="A19" sqref="A1:L20"/>
    </sheetView>
  </sheetViews>
  <sheetFormatPr baseColWidth="10" defaultRowHeight="16" x14ac:dyDescent="0.2"/>
  <cols>
    <col min="1" max="1" width="35.1640625" style="5" customWidth="1"/>
    <col min="2" max="2" width="113.33203125" style="5" bestFit="1" customWidth="1"/>
    <col min="3" max="3" width="11.33203125" style="5" bestFit="1" customWidth="1"/>
    <col min="4" max="4" width="25.33203125" style="5" bestFit="1" customWidth="1"/>
    <col min="5" max="5" width="28.5" style="5" bestFit="1" customWidth="1"/>
    <col min="6" max="6" width="20" style="5" bestFit="1" customWidth="1"/>
    <col min="7" max="7" width="25" style="5" bestFit="1" customWidth="1"/>
    <col min="8" max="8" width="22.33203125" style="5" bestFit="1" customWidth="1"/>
    <col min="9" max="9" width="26" style="5" bestFit="1" customWidth="1"/>
    <col min="10" max="10" width="31" style="5" bestFit="1" customWidth="1"/>
    <col min="11" max="11" width="33" style="5" bestFit="1" customWidth="1"/>
    <col min="12" max="12" width="46" style="5" bestFit="1" customWidth="1"/>
    <col min="13" max="13" width="10.83203125" style="5"/>
    <col min="14" max="14" width="25" style="5" bestFit="1" customWidth="1"/>
    <col min="15" max="16" width="10.83203125" style="5"/>
    <col min="17" max="17" width="33" style="5" bestFit="1" customWidth="1"/>
    <col min="18" max="18" width="10.83203125" style="5"/>
    <col min="19" max="19" width="32.33203125" style="5" bestFit="1" customWidth="1"/>
    <col min="20" max="16384" width="10.83203125" style="5"/>
  </cols>
  <sheetData>
    <row r="1" spans="1:17" s="11" customFormat="1" x14ac:dyDescent="0.2">
      <c r="A1" s="5" t="s">
        <v>25</v>
      </c>
      <c r="B1" s="5" t="s">
        <v>72</v>
      </c>
      <c r="C1" s="5" t="s">
        <v>26</v>
      </c>
      <c r="D1" s="5" t="s">
        <v>75</v>
      </c>
      <c r="E1" s="5" t="s">
        <v>73</v>
      </c>
      <c r="F1" s="5" t="s">
        <v>77</v>
      </c>
      <c r="G1" s="5" t="s">
        <v>76</v>
      </c>
      <c r="H1" s="5" t="s">
        <v>102</v>
      </c>
      <c r="I1" s="5" t="s">
        <v>103</v>
      </c>
      <c r="J1" s="5" t="s">
        <v>74</v>
      </c>
      <c r="K1" s="5" t="s">
        <v>104</v>
      </c>
      <c r="L1" s="5" t="s">
        <v>105</v>
      </c>
    </row>
    <row r="2" spans="1:17" x14ac:dyDescent="0.2">
      <c r="A2" s="5" t="s">
        <v>78</v>
      </c>
      <c r="B2" s="5" t="s">
        <v>79</v>
      </c>
      <c r="C2" s="5" t="s">
        <v>46</v>
      </c>
      <c r="D2" s="5">
        <v>2.8009733178675899E-2</v>
      </c>
      <c r="E2" s="5">
        <v>4.76972981775892</v>
      </c>
      <c r="F2" s="5">
        <v>114.817662645242</v>
      </c>
      <c r="G2" s="5">
        <v>1.6489908655323099E-2</v>
      </c>
      <c r="H2" s="5">
        <v>3.7198081979682001E-6</v>
      </c>
      <c r="I2" s="5">
        <v>3.20057285165097E-6</v>
      </c>
      <c r="J2" s="5">
        <v>3.0305860691284798E-7</v>
      </c>
      <c r="K2" s="5">
        <v>1.5505763327964399E-2</v>
      </c>
      <c r="L2" s="5">
        <v>0.30766993818472999</v>
      </c>
    </row>
    <row r="3" spans="1:17" x14ac:dyDescent="0.2">
      <c r="A3" s="5" t="s">
        <v>80</v>
      </c>
      <c r="B3" s="5" t="s">
        <v>122</v>
      </c>
      <c r="C3" s="5" t="s">
        <v>46</v>
      </c>
      <c r="D3" s="5">
        <v>1.06E-3</v>
      </c>
      <c r="E3" s="5">
        <v>0.36899999999999999</v>
      </c>
      <c r="F3" s="5">
        <v>27.3</v>
      </c>
      <c r="G3" s="5">
        <v>1.7799999999999999E-3</v>
      </c>
      <c r="H3" s="5">
        <v>2.1799999999999999E-6</v>
      </c>
      <c r="I3" s="5">
        <v>1.2100000000000001E-6</v>
      </c>
      <c r="J3" s="5">
        <v>2.1400000000000001E-9</v>
      </c>
      <c r="K3" s="5">
        <v>1.3799999999999999E-4</v>
      </c>
      <c r="L3" s="5">
        <v>2.29E-2</v>
      </c>
    </row>
    <row r="4" spans="1:17" x14ac:dyDescent="0.2">
      <c r="A4" s="5" t="s">
        <v>121</v>
      </c>
      <c r="B4" s="5" t="s">
        <v>81</v>
      </c>
      <c r="C4" s="5" t="s">
        <v>82</v>
      </c>
      <c r="D4" s="5">
        <v>0.476546765764081</v>
      </c>
      <c r="E4" s="5">
        <v>164.07188516087601</v>
      </c>
      <c r="F4" s="5">
        <v>625.42620046409695</v>
      </c>
      <c r="G4" s="5">
        <v>0.18408690062796801</v>
      </c>
      <c r="H4" s="5">
        <v>3.8695477035941097E-6</v>
      </c>
      <c r="I4" s="5">
        <v>2.1320863180768401E-5</v>
      </c>
      <c r="J4" s="5">
        <v>1.3051010026474701E-5</v>
      </c>
      <c r="K4" s="5">
        <v>6.3878686650488306E-2</v>
      </c>
      <c r="L4" s="5">
        <v>9.7687089730591605</v>
      </c>
    </row>
    <row r="5" spans="1:17" x14ac:dyDescent="0.2">
      <c r="A5" s="5" t="s">
        <v>83</v>
      </c>
      <c r="B5" s="5" t="s">
        <v>84</v>
      </c>
      <c r="C5" s="5" t="s">
        <v>85</v>
      </c>
      <c r="D5" s="5">
        <v>2.1440477913790301E-3</v>
      </c>
      <c r="E5" s="5">
        <v>0.46879269687912301</v>
      </c>
      <c r="F5" s="5">
        <v>4.3996437197285898</v>
      </c>
      <c r="G5" s="5">
        <v>3.1166766166426702E-3</v>
      </c>
      <c r="H5" s="5">
        <v>3.16335760495436E-8</v>
      </c>
      <c r="I5" s="5">
        <v>1.22271602822794E-7</v>
      </c>
      <c r="J5" s="5">
        <v>6.0824549640652306E-8</v>
      </c>
      <c r="K5" s="5">
        <v>2.5861196562386099E-4</v>
      </c>
      <c r="L5" s="5">
        <v>1.9038691363441201E-2</v>
      </c>
    </row>
    <row r="6" spans="1:17" x14ac:dyDescent="0.2">
      <c r="A6" s="5" t="s">
        <v>0</v>
      </c>
      <c r="B6" s="5" t="s">
        <v>86</v>
      </c>
      <c r="C6" s="5" t="s">
        <v>87</v>
      </c>
      <c r="D6" s="5">
        <v>6.0662940178567604E-4</v>
      </c>
      <c r="E6" s="5">
        <v>0.167123180176838</v>
      </c>
      <c r="F6" s="5">
        <v>1.4537421691146599</v>
      </c>
      <c r="G6" s="5">
        <v>1.7558059719281901E-4</v>
      </c>
      <c r="H6" s="5">
        <v>5.0456455756132197E-9</v>
      </c>
      <c r="I6" s="5">
        <v>4.9433144851181598E-8</v>
      </c>
      <c r="J6" s="5">
        <v>4.0849232966187301E-8</v>
      </c>
      <c r="K6" s="5">
        <v>1.25751718031138E-4</v>
      </c>
      <c r="L6" s="5">
        <v>1.2571847409566701E-2</v>
      </c>
    </row>
    <row r="7" spans="1:17" x14ac:dyDescent="0.2">
      <c r="A7" s="5" t="s">
        <v>8</v>
      </c>
      <c r="B7" s="5" t="s">
        <v>88</v>
      </c>
      <c r="C7" s="5" t="s">
        <v>46</v>
      </c>
      <c r="D7" s="5">
        <v>5.3191990000000001E-3</v>
      </c>
      <c r="E7" s="5">
        <v>0.57736683499999997</v>
      </c>
      <c r="F7" s="5">
        <v>1.6325500369999999</v>
      </c>
      <c r="G7" s="5">
        <v>2.0128630000000002E-3</v>
      </c>
      <c r="H7" s="5">
        <v>1.60083E-8</v>
      </c>
      <c r="I7" s="5">
        <v>6.53363E-8</v>
      </c>
      <c r="J7" s="5">
        <v>9.2073999999999997E-7</v>
      </c>
      <c r="K7" s="5">
        <v>4.6718299999999998E-4</v>
      </c>
      <c r="L7" s="5">
        <v>4.7013320999999997E-2</v>
      </c>
    </row>
    <row r="8" spans="1:17" x14ac:dyDescent="0.2">
      <c r="A8" s="5" t="s">
        <v>89</v>
      </c>
      <c r="B8" s="5" t="s">
        <v>90</v>
      </c>
      <c r="C8" s="5" t="s">
        <v>46</v>
      </c>
      <c r="D8" s="5">
        <v>9.2157400000000006E-5</v>
      </c>
      <c r="E8" s="5">
        <v>1.2048414E-2</v>
      </c>
      <c r="F8" s="5">
        <v>9.7157771000000004E-2</v>
      </c>
      <c r="G8" s="5">
        <v>2.9385799999999999E-5</v>
      </c>
      <c r="H8" s="5">
        <v>6.6348299999999999E-10</v>
      </c>
      <c r="I8" s="5">
        <v>3.1148E-9</v>
      </c>
      <c r="J8" s="5">
        <v>2.3623200000000002E-9</v>
      </c>
      <c r="K8" s="5">
        <v>1.1119E-5</v>
      </c>
      <c r="L8" s="5">
        <v>1.870252E-3</v>
      </c>
      <c r="N8" s="13"/>
      <c r="Q8" s="13"/>
    </row>
    <row r="9" spans="1:17" x14ac:dyDescent="0.2">
      <c r="A9" s="5" t="s">
        <v>91</v>
      </c>
      <c r="B9" s="5" t="s">
        <v>92</v>
      </c>
      <c r="C9" s="5" t="s">
        <v>46</v>
      </c>
      <c r="D9" s="5">
        <v>1.6698329999999999E-3</v>
      </c>
      <c r="E9" s="5">
        <v>0.85738104400000004</v>
      </c>
      <c r="F9" s="5">
        <v>1.091661891</v>
      </c>
      <c r="G9" s="5">
        <v>6.2959400000000003E-4</v>
      </c>
      <c r="H9" s="5">
        <v>5.8486599999999999E-9</v>
      </c>
      <c r="I9" s="5">
        <v>4.3233799999999998E-8</v>
      </c>
      <c r="J9" s="5">
        <v>8.3079100000000004E-8</v>
      </c>
      <c r="K9" s="5">
        <v>1.9399900000000001E-4</v>
      </c>
      <c r="L9" s="5">
        <v>2.4847318E-2</v>
      </c>
    </row>
    <row r="10" spans="1:17" x14ac:dyDescent="0.2">
      <c r="A10" s="5" t="s">
        <v>93</v>
      </c>
      <c r="B10" s="5" t="s">
        <v>94</v>
      </c>
      <c r="C10" s="5" t="s">
        <v>46</v>
      </c>
      <c r="D10" s="5">
        <v>1.166713E-3</v>
      </c>
      <c r="E10" s="5">
        <v>0.42118698599999999</v>
      </c>
      <c r="F10" s="5">
        <v>319.6123427</v>
      </c>
      <c r="G10" s="5">
        <v>2.2619314000000001E-2</v>
      </c>
      <c r="H10" s="5">
        <v>5.9305199999999999E-6</v>
      </c>
      <c r="I10" s="5">
        <v>2.2970000000000002E-6</v>
      </c>
      <c r="J10" s="5">
        <v>2.7328600000000001E-8</v>
      </c>
      <c r="K10" s="5">
        <v>1.40187E-4</v>
      </c>
      <c r="L10" s="5">
        <v>2.1192800000000001E-2</v>
      </c>
    </row>
    <row r="11" spans="1:17" x14ac:dyDescent="0.2">
      <c r="A11" s="5" t="s">
        <v>95</v>
      </c>
      <c r="B11" s="5" t="s">
        <v>171</v>
      </c>
      <c r="C11" s="5" t="s">
        <v>46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0.22777777799999999</v>
      </c>
      <c r="L11" s="5">
        <v>0</v>
      </c>
    </row>
    <row r="12" spans="1:17" x14ac:dyDescent="0.2">
      <c r="A12" s="5" t="s">
        <v>96</v>
      </c>
      <c r="B12" s="5" t="s">
        <v>170</v>
      </c>
      <c r="C12" s="5" t="s">
        <v>46</v>
      </c>
      <c r="D12" s="5">
        <v>0.7</v>
      </c>
      <c r="E12" s="5">
        <v>0</v>
      </c>
      <c r="F12" s="5">
        <v>0</v>
      </c>
      <c r="G12" s="5">
        <v>4.4290000000000003E-2</v>
      </c>
      <c r="H12" s="5">
        <v>0</v>
      </c>
      <c r="I12" s="5">
        <v>0</v>
      </c>
      <c r="J12" s="5">
        <v>0</v>
      </c>
      <c r="K12" s="5">
        <v>7.2222220000000004E-3</v>
      </c>
      <c r="L12" s="5">
        <v>24.79</v>
      </c>
    </row>
    <row r="13" spans="1:17" x14ac:dyDescent="0.2">
      <c r="A13" s="5" t="s">
        <v>97</v>
      </c>
      <c r="B13" s="5" t="s">
        <v>169</v>
      </c>
      <c r="C13" s="5" t="s">
        <v>46</v>
      </c>
      <c r="D13" s="5">
        <v>1.6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</row>
    <row r="14" spans="1:17" x14ac:dyDescent="0.2">
      <c r="A14" s="5" t="s">
        <v>98</v>
      </c>
      <c r="B14" s="5" t="s">
        <v>168</v>
      </c>
      <c r="C14" s="5" t="s">
        <v>46</v>
      </c>
      <c r="D14" s="8">
        <v>7.7100000000000002E-2</v>
      </c>
      <c r="E14" s="8">
        <v>13.6</v>
      </c>
      <c r="F14" s="9">
        <v>1600</v>
      </c>
      <c r="G14" s="8">
        <v>2.4899999999999999E-2</v>
      </c>
      <c r="H14" s="9">
        <v>8.8900000000000003E-4</v>
      </c>
      <c r="I14" s="8">
        <v>0.105</v>
      </c>
      <c r="J14" s="9">
        <v>3.03E-8</v>
      </c>
      <c r="K14" s="8">
        <v>9.7599999999999996E-3</v>
      </c>
      <c r="L14" s="8">
        <v>0.72599999999999998</v>
      </c>
    </row>
    <row r="15" spans="1:17" x14ac:dyDescent="0.2">
      <c r="A15" s="5" t="s">
        <v>99</v>
      </c>
      <c r="B15" s="5" t="s">
        <v>167</v>
      </c>
      <c r="C15" s="5" t="s">
        <v>46</v>
      </c>
      <c r="D15" s="5">
        <v>0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</row>
    <row r="16" spans="1:17" x14ac:dyDescent="0.2">
      <c r="A16" s="5" t="s">
        <v>118</v>
      </c>
      <c r="B16" s="5" t="s">
        <v>166</v>
      </c>
      <c r="C16" s="5" t="s">
        <v>46</v>
      </c>
      <c r="D16" s="5">
        <v>7.0099999999999996E-2</v>
      </c>
      <c r="E16" s="5">
        <v>12.6</v>
      </c>
      <c r="F16" s="5">
        <v>310</v>
      </c>
      <c r="G16" s="5">
        <v>3.4700000000000002E-2</v>
      </c>
      <c r="H16" s="5">
        <v>9.4399999999999998E-7</v>
      </c>
      <c r="I16" s="5">
        <v>5.3499999999999996E-6</v>
      </c>
      <c r="J16" s="5">
        <v>3.2499999999999999E-4</v>
      </c>
      <c r="K16" s="5">
        <v>1.21E-2</v>
      </c>
      <c r="L16" s="5">
        <v>0.72</v>
      </c>
    </row>
    <row r="17" spans="1:12" x14ac:dyDescent="0.2">
      <c r="A17" s="5" t="s">
        <v>119</v>
      </c>
      <c r="B17" s="5" t="s">
        <v>165</v>
      </c>
      <c r="C17" s="5" t="s">
        <v>46</v>
      </c>
      <c r="D17" s="5">
        <v>0</v>
      </c>
      <c r="E17" s="5">
        <v>7390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x14ac:dyDescent="0.2">
      <c r="A18" s="5" t="s">
        <v>137</v>
      </c>
      <c r="B18" s="5" t="s">
        <v>164</v>
      </c>
      <c r="C18" s="5" t="s">
        <v>46</v>
      </c>
      <c r="D18" s="5">
        <v>4.0099999999999997E-3</v>
      </c>
      <c r="E18" s="5">
        <v>1.06</v>
      </c>
      <c r="F18" s="5">
        <v>16</v>
      </c>
      <c r="G18" s="5">
        <v>1.9300000000000001E-3</v>
      </c>
      <c r="H18" s="5">
        <v>1.29E-7</v>
      </c>
      <c r="I18" s="5">
        <v>2.2399999999999999E-7</v>
      </c>
      <c r="J18" s="5">
        <v>8.65E-8</v>
      </c>
      <c r="K18" s="5">
        <v>7.1000000000000002E-4</v>
      </c>
      <c r="L18" s="5">
        <v>7.6100000000000001E-2</v>
      </c>
    </row>
    <row r="19" spans="1:12" x14ac:dyDescent="0.2">
      <c r="A19" s="5" t="s">
        <v>154</v>
      </c>
      <c r="B19" s="5" t="s">
        <v>163</v>
      </c>
      <c r="C19" s="5" t="s">
        <v>46</v>
      </c>
      <c r="D19" s="5">
        <v>4.5399999999999998E-3</v>
      </c>
      <c r="E19" s="5">
        <v>0.96</v>
      </c>
      <c r="F19" s="5">
        <v>16.100000000000001</v>
      </c>
      <c r="G19" s="5">
        <v>3.5100000000000001E-3</v>
      </c>
      <c r="H19" s="5">
        <v>8.5199999999999995E-8</v>
      </c>
      <c r="I19" s="5">
        <v>2.91E-7</v>
      </c>
      <c r="J19" s="5">
        <v>5.4799999999999998E-7</v>
      </c>
      <c r="K19" s="5">
        <v>1.31E-3</v>
      </c>
      <c r="L19" s="5">
        <v>6.1100000000000002E-2</v>
      </c>
    </row>
    <row r="20" spans="1:12" x14ac:dyDescent="0.2">
      <c r="A20" s="5" t="s">
        <v>157</v>
      </c>
      <c r="B20" s="8" t="s">
        <v>162</v>
      </c>
      <c r="C20" s="5" t="s">
        <v>46</v>
      </c>
      <c r="D20" s="5">
        <v>5.1700000000000003E-2</v>
      </c>
      <c r="E20" s="5">
        <v>8.58</v>
      </c>
      <c r="F20" s="5">
        <v>249</v>
      </c>
      <c r="G20" s="5">
        <v>3.2099999999999997E-2</v>
      </c>
      <c r="H20" s="5">
        <v>8.5000000000000001E-7</v>
      </c>
      <c r="I20" s="5">
        <v>4.1400000000000002E-6</v>
      </c>
      <c r="J20" s="5">
        <v>2.8600000000000001E-6</v>
      </c>
      <c r="K20" s="5">
        <v>1.0699999999999999E-2</v>
      </c>
      <c r="L20" s="5">
        <v>0.66600000000000004</v>
      </c>
    </row>
    <row r="25" spans="1:12" ht="18" x14ac:dyDescent="0.2">
      <c r="A25" s="14"/>
      <c r="B25" s="14"/>
      <c r="C25" s="14"/>
      <c r="D25" s="14"/>
      <c r="E25" s="14"/>
    </row>
    <row r="26" spans="1:12" ht="18" x14ac:dyDescent="0.2">
      <c r="A26" s="14"/>
      <c r="B26" s="14"/>
      <c r="C26" s="14"/>
      <c r="D26" s="14"/>
      <c r="E26" s="14"/>
    </row>
    <row r="27" spans="1:12" ht="18" x14ac:dyDescent="0.2">
      <c r="A27" s="14"/>
      <c r="B27" s="14"/>
      <c r="C27" s="15"/>
      <c r="D27" s="14"/>
      <c r="E27" s="14"/>
    </row>
    <row r="28" spans="1:12" ht="18" x14ac:dyDescent="0.2">
      <c r="A28" s="14"/>
      <c r="B28" s="14"/>
      <c r="C28" s="14"/>
      <c r="D28" s="14"/>
      <c r="E28" s="14"/>
    </row>
    <row r="29" spans="1:12" ht="18" x14ac:dyDescent="0.2">
      <c r="A29" s="14"/>
      <c r="B29" s="14"/>
      <c r="C29" s="15"/>
      <c r="D29" s="14"/>
      <c r="E29" s="14"/>
    </row>
    <row r="30" spans="1:12" ht="18" x14ac:dyDescent="0.2">
      <c r="A30" s="14"/>
      <c r="B30" s="14"/>
      <c r="C30" s="14"/>
      <c r="D30" s="14"/>
      <c r="E30" s="14"/>
    </row>
    <row r="31" spans="1:12" ht="18" x14ac:dyDescent="0.2">
      <c r="A31" s="14"/>
      <c r="B31" s="14"/>
      <c r="C31" s="15"/>
      <c r="D31" s="14"/>
      <c r="E31" s="14"/>
    </row>
    <row r="32" spans="1:12" ht="18" x14ac:dyDescent="0.2">
      <c r="A32" s="14"/>
      <c r="B32" s="14"/>
      <c r="C32" s="14"/>
      <c r="D32" s="14"/>
      <c r="E32" s="14"/>
    </row>
    <row r="33" spans="1:5" ht="18" x14ac:dyDescent="0.2">
      <c r="A33" s="14"/>
      <c r="B33" s="14"/>
      <c r="C33" s="14"/>
      <c r="D33" s="14"/>
      <c r="E33" s="14"/>
    </row>
    <row r="34" spans="1:5" ht="18" x14ac:dyDescent="0.2">
      <c r="A34" s="14"/>
      <c r="B34" s="14"/>
      <c r="C34" s="15"/>
      <c r="D34" s="14"/>
      <c r="E34" s="14"/>
    </row>
    <row r="35" spans="1:5" ht="18" x14ac:dyDescent="0.2">
      <c r="A35" s="14"/>
      <c r="B35" s="14"/>
      <c r="C35" s="15"/>
      <c r="D35" s="14"/>
      <c r="E35" s="14"/>
    </row>
    <row r="36" spans="1:5" ht="18" x14ac:dyDescent="0.2">
      <c r="A36" s="14"/>
      <c r="B36" s="14"/>
      <c r="C36" s="15"/>
      <c r="D36" s="14"/>
      <c r="E36" s="14"/>
    </row>
    <row r="37" spans="1:5" ht="18" x14ac:dyDescent="0.2">
      <c r="A37" s="14"/>
      <c r="B37" s="14"/>
      <c r="C37" s="14"/>
      <c r="D37" s="14"/>
      <c r="E37" s="14"/>
    </row>
    <row r="38" spans="1:5" ht="18" x14ac:dyDescent="0.2">
      <c r="A38" s="14"/>
      <c r="B38" s="14"/>
      <c r="C38" s="14"/>
      <c r="D38" s="1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33379be-d3c7-43aa-8e3c-664858a08dc5}" enabled="0" method="" siteId="{733379be-d3c7-43aa-8e3c-664858a08dc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design</vt:lpstr>
      <vt:lpstr>LCA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Mdmoshiurrahman Tushar</dc:creator>
  <cp:lastModifiedBy>Mdmoshiurrahman Tushar</cp:lastModifiedBy>
  <dcterms:created xsi:type="dcterms:W3CDTF">2025-08-03T16:03:51Z</dcterms:created>
  <dcterms:modified xsi:type="dcterms:W3CDTF">2025-12-23T18:29:18Z</dcterms:modified>
</cp:coreProperties>
</file>